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da159756/Desktop/Area de Trabalho/Amanda/DIO/"/>
    </mc:Choice>
  </mc:AlternateContent>
  <xr:revisionPtr revIDLastSave="0" documentId="13_ncr:1_{CEAC5AEB-3E44-5E46-A596-8D58B5A58903}" xr6:coauthVersionLast="47" xr6:coauthVersionMax="47" xr10:uidLastSave="{00000000-0000-0000-0000-000000000000}"/>
  <bookViews>
    <workbookView xWindow="120" yWindow="500" windowWidth="28240" windowHeight="16100" xr2:uid="{05282F6C-A7EB-AF4D-B5D7-85E3D6B8B83B}"/>
  </bookViews>
  <sheets>
    <sheet name="APP" sheetId="1" r:id="rId1"/>
    <sheet name="Planilha2" sheetId="2" state="hidden" r:id="rId2"/>
  </sheets>
  <definedNames>
    <definedName name="_xlchart.v1.0" hidden="1">APP!$B$38:$B$43</definedName>
    <definedName name="_xlchart.v1.1" hidden="1">APP!$C$37</definedName>
    <definedName name="_xlchart.v1.2" hidden="1">APP!$C$38:$C$43</definedName>
    <definedName name="aporte">APP!$D$17</definedName>
    <definedName name="patrimonio">APP!$D$20</definedName>
    <definedName name="qtd_anos">APP!$D$18</definedName>
    <definedName name="rendimento_carteira">APP!$D$12</definedName>
    <definedName name="salario">APP!$D$11</definedName>
    <definedName name="sugestao_investimento">APP!$D$13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" l="1"/>
  <c r="A16" i="2"/>
  <c r="A17" i="2"/>
  <c r="A18" i="2"/>
  <c r="A19" i="2"/>
  <c r="A20" i="2"/>
  <c r="A9" i="2"/>
  <c r="A10" i="2"/>
  <c r="A11" i="2"/>
  <c r="A12" i="2"/>
  <c r="A13" i="2"/>
  <c r="A14" i="2"/>
  <c r="A4" i="2"/>
  <c r="A5" i="2"/>
  <c r="A6" i="2"/>
  <c r="A7" i="2"/>
  <c r="A8" i="2"/>
  <c r="A3" i="2"/>
  <c r="C39" i="1" s="1"/>
  <c r="C34" i="1"/>
  <c r="D20" i="1"/>
  <c r="D21" i="1" s="1"/>
  <c r="D13" i="1"/>
  <c r="C26" i="1"/>
  <c r="D26" i="1" s="1"/>
  <c r="C27" i="1"/>
  <c r="D27" i="1" s="1"/>
  <c r="C28" i="1"/>
  <c r="D28" i="1" s="1"/>
  <c r="C29" i="1"/>
  <c r="D29" i="1" s="1"/>
  <c r="C25" i="1"/>
  <c r="D25" i="1" s="1"/>
  <c r="C42" i="1" l="1"/>
  <c r="D42" i="1" s="1"/>
  <c r="C41" i="1"/>
  <c r="C40" i="1"/>
  <c r="C38" i="1"/>
  <c r="C43" i="1"/>
  <c r="D43" i="1" s="1"/>
  <c r="D40" i="1"/>
  <c r="D41" i="1"/>
  <c r="D38" i="1"/>
  <c r="D39" i="1"/>
  <c r="D44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<sst xmlns="http://schemas.openxmlformats.org/spreadsheetml/2006/main" count="69" uniqueCount="33">
  <si>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</si>
  <si>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</si>
  <si>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</si>
  <si>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</si>
  <si>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</si>
  <si>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</si>
  <si>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</t>
  </si>
  <si>
    <t>Quanto em 5 Anos</t>
  </si>
  <si>
    <t>Quanto em 10 Anos</t>
  </si>
  <si>
    <t>Quanto em 20 Anos</t>
  </si>
  <si>
    <t>Quanto em 30 Anos</t>
  </si>
  <si>
    <t>CENÁRIOS</t>
  </si>
  <si>
    <t>DIVIDENDO</t>
  </si>
  <si>
    <t>CONFIGURAÇÕES</t>
  </si>
  <si>
    <t>Salário</t>
  </si>
  <si>
    <t>Rendimento Carteira</t>
  </si>
  <si>
    <t>Sugestão de Investimento</t>
  </si>
  <si>
    <t>AGRESSIVO</t>
  </si>
  <si>
    <t>CONSERVADOR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</si>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</sst>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scheme val="minor"/>
    </font>
    <font>
      <b/>
      <sz val="12"/>
      <color theme="1"/>
      <name val="Aptos Narrow"/>
      <scheme val="minor"/>
    </font>
    <font>
      <sz val="13"/>
      <color theme="1"/>
      <name val="Segoe UI"/>
    </font>
    <font>
      <b/>
      <sz val="13"/>
      <color theme="1"/>
      <name val="Segoe UI"/>
    </font>
    <font>
      <b/>
      <sz val="11"/>
      <color theme="0"/>
      <name val="Segoe UI"/>
    </font>
    <font>
      <sz val="12"/>
      <color theme="1"/>
      <name val="Segoe UI"/>
    </font>
    <font>
      <b/>
      <sz val="13"/>
      <color theme="0"/>
      <name val="Segoe Ui"/>
    </font>
    <font>
      <sz val="14"/>
      <color theme="1"/>
      <name val="Aptos Narrow"/>
      <family val="2"/>
      <scheme val="minor"/>
    </font>
    <font>
      <sz val="14"/>
      <color theme="1"/>
      <name val="Segoe UI"/>
    </font>
    <font>
      <b/>
      <sz val="18"/>
      <color theme="0"/>
      <name val="Segoe UI"/>
    </font>
    <font>
      <b/>
      <sz val="13"/>
      <color theme="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9">
    <xf numFmtId="0" fontId="0" fillId="0" borderId="0" xfId="0"/>
    <xf numFmtId="0" fontId="0" fillId="3" borderId="0" xfId="0" applyFill="1"/>
    <xf numFmtId="0" fontId="3" fillId="0" borderId="0" xfId="0" applyFont="1"/>
    <xf numFmtId="0" fontId="5" fillId="5" borderId="0" xfId="0" applyFont="1" applyFill="1"/>
    <xf numFmtId="8" fontId="6" fillId="5" borderId="0" xfId="0" applyNumberFormat="1" applyFont="1" applyFill="1" applyAlignment="1">
      <alignment horizontal="center"/>
    </xf>
    <xf numFmtId="0" fontId="0" fillId="0" borderId="4" xfId="0" applyBorder="1"/>
    <xf numFmtId="164" fontId="7" fillId="0" borderId="8" xfId="0" applyNumberFormat="1" applyFont="1" applyBorder="1" applyAlignment="1">
      <alignment horizontal="center"/>
    </xf>
    <xf numFmtId="10" fontId="7" fillId="0" borderId="10" xfId="0" applyNumberFormat="1" applyFont="1" applyBorder="1" applyAlignment="1">
      <alignment horizontal="center"/>
    </xf>
    <xf numFmtId="164" fontId="8" fillId="0" borderId="10" xfId="1" applyNumberFormat="1" applyFont="1" applyBorder="1" applyAlignment="1">
      <alignment horizontal="center"/>
    </xf>
    <xf numFmtId="8" fontId="8" fillId="6" borderId="10" xfId="0" applyNumberFormat="1" applyFont="1" applyFill="1" applyBorder="1" applyAlignment="1">
      <alignment horizontal="center"/>
    </xf>
    <xf numFmtId="8" fontId="8" fillId="6" borderId="13" xfId="0" applyNumberFormat="1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indent="4"/>
    </xf>
    <xf numFmtId="8" fontId="10" fillId="6" borderId="6" xfId="0" applyNumberFormat="1" applyFont="1" applyFill="1" applyBorder="1"/>
    <xf numFmtId="8" fontId="7" fillId="6" borderId="8" xfId="0" applyNumberFormat="1" applyFont="1" applyFill="1" applyBorder="1"/>
    <xf numFmtId="0" fontId="7" fillId="6" borderId="9" xfId="0" applyFont="1" applyFill="1" applyBorder="1" applyAlignment="1">
      <alignment horizontal="left" indent="4"/>
    </xf>
    <xf numFmtId="8" fontId="10" fillId="6" borderId="1" xfId="0" applyNumberFormat="1" applyFont="1" applyFill="1" applyBorder="1"/>
    <xf numFmtId="8" fontId="7" fillId="6" borderId="10" xfId="0" applyNumberFormat="1" applyFont="1" applyFill="1" applyBorder="1"/>
    <xf numFmtId="0" fontId="7" fillId="6" borderId="11" xfId="0" applyFont="1" applyFill="1" applyBorder="1" applyAlignment="1">
      <alignment horizontal="left" indent="4"/>
    </xf>
    <xf numFmtId="8" fontId="10" fillId="6" borderId="12" xfId="0" applyNumberFormat="1" applyFont="1" applyFill="1" applyBorder="1"/>
    <xf numFmtId="8" fontId="7" fillId="6" borderId="13" xfId="0" applyNumberFormat="1" applyFont="1" applyFill="1" applyBorder="1"/>
    <xf numFmtId="0" fontId="8" fillId="5" borderId="10" xfId="0" applyFont="1" applyFill="1" applyBorder="1" applyAlignment="1">
      <alignment horizontal="center"/>
    </xf>
    <xf numFmtId="10" fontId="8" fillId="5" borderId="10" xfId="0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164" fontId="11" fillId="3" borderId="0" xfId="0" applyNumberFormat="1" applyFont="1" applyFill="1" applyAlignment="1">
      <alignment horizontal="center"/>
    </xf>
    <xf numFmtId="9" fontId="0" fillId="0" borderId="0" xfId="2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9" fontId="12" fillId="0" borderId="0" xfId="2" applyFont="1" applyAlignment="1">
      <alignment horizontal="center"/>
    </xf>
    <xf numFmtId="0" fontId="12" fillId="0" borderId="4" xfId="0" applyFont="1" applyBorder="1"/>
    <xf numFmtId="0" fontId="13" fillId="0" borderId="4" xfId="0" applyFont="1" applyBorder="1" applyAlignment="1">
      <alignment horizontal="center"/>
    </xf>
    <xf numFmtId="9" fontId="12" fillId="0" borderId="4" xfId="2" applyFont="1" applyBorder="1" applyAlignment="1">
      <alignment horizontal="center"/>
    </xf>
    <xf numFmtId="9" fontId="12" fillId="0" borderId="0" xfId="2" applyFont="1" applyBorder="1" applyAlignment="1">
      <alignment horizontal="center"/>
    </xf>
    <xf numFmtId="0" fontId="12" fillId="0" borderId="5" xfId="0" applyFont="1" applyBorder="1"/>
    <xf numFmtId="0" fontId="13" fillId="0" borderId="5" xfId="0" applyFont="1" applyBorder="1" applyAlignment="1">
      <alignment horizontal="center"/>
    </xf>
    <xf numFmtId="9" fontId="12" fillId="0" borderId="5" xfId="2" applyFont="1" applyBorder="1" applyAlignment="1">
      <alignment horizontal="center"/>
    </xf>
    <xf numFmtId="0" fontId="6" fillId="5" borderId="0" xfId="0" applyFont="1" applyFill="1"/>
    <xf numFmtId="164" fontId="6" fillId="5" borderId="0" xfId="0" applyNumberFormat="1" applyFont="1" applyFill="1" applyAlignment="1">
      <alignment horizontal="center"/>
    </xf>
    <xf numFmtId="0" fontId="5" fillId="4" borderId="0" xfId="0" applyFont="1" applyFill="1"/>
    <xf numFmtId="164" fontId="5" fillId="4" borderId="0" xfId="0" applyNumberFormat="1" applyFont="1" applyFill="1" applyAlignment="1">
      <alignment horizontal="center"/>
    </xf>
    <xf numFmtId="0" fontId="15" fillId="8" borderId="0" xfId="3" applyFont="1" applyFill="1"/>
    <xf numFmtId="0" fontId="15" fillId="8" borderId="0" xfId="3" applyFont="1" applyFill="1" applyAlignment="1">
      <alignment horizontal="center"/>
    </xf>
    <xf numFmtId="164" fontId="7" fillId="9" borderId="0" xfId="0" applyNumberFormat="1" applyFont="1" applyFill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indent="4"/>
    </xf>
    <xf numFmtId="0" fontId="7" fillId="0" borderId="1" xfId="0" applyFont="1" applyBorder="1" applyAlignment="1">
      <alignment horizontal="left" indent="4"/>
    </xf>
    <xf numFmtId="0" fontId="4" fillId="0" borderId="0" xfId="0" applyFont="1" applyAlignment="1">
      <alignment horizontal="left"/>
    </xf>
    <xf numFmtId="0" fontId="4" fillId="0" borderId="14" xfId="0" applyFont="1" applyBorder="1" applyAlignment="1">
      <alignment horizontal="left"/>
    </xf>
    <xf numFmtId="0" fontId="8" fillId="6" borderId="9" xfId="0" applyFont="1" applyFill="1" applyBorder="1" applyAlignment="1">
      <alignment horizontal="left" indent="4"/>
    </xf>
    <xf numFmtId="0" fontId="8" fillId="6" borderId="1" xfId="0" applyFont="1" applyFill="1" applyBorder="1" applyAlignment="1">
      <alignment horizontal="left" indent="4"/>
    </xf>
    <xf numFmtId="0" fontId="8" fillId="6" borderId="11" xfId="0" applyFont="1" applyFill="1" applyBorder="1" applyAlignment="1">
      <alignment horizontal="left" indent="4"/>
    </xf>
    <xf numFmtId="0" fontId="8" fillId="6" borderId="12" xfId="0" applyFont="1" applyFill="1" applyBorder="1" applyAlignment="1">
      <alignment horizontal="left" indent="4"/>
    </xf>
    <xf numFmtId="0" fontId="7" fillId="6" borderId="7" xfId="0" applyFont="1" applyFill="1" applyBorder="1" applyAlignment="1">
      <alignment horizontal="left" indent="4"/>
    </xf>
    <xf numFmtId="0" fontId="7" fillId="6" borderId="6" xfId="0" applyFont="1" applyFill="1" applyBorder="1" applyAlignment="1">
      <alignment horizontal="left" indent="4"/>
    </xf>
    <xf numFmtId="0" fontId="7" fillId="6" borderId="9" xfId="0" applyFont="1" applyFill="1" applyBorder="1" applyAlignment="1">
      <alignment horizontal="left" indent="4"/>
    </xf>
    <xf numFmtId="0" fontId="7" fillId="6" borderId="1" xfId="0" applyFont="1" applyFill="1" applyBorder="1" applyAlignment="1">
      <alignment horizontal="left" indent="4"/>
    </xf>
    <xf numFmtId="0" fontId="7" fillId="6" borderId="11" xfId="0" applyFont="1" applyFill="1" applyBorder="1" applyAlignment="1">
      <alignment horizontal="left" indent="4"/>
    </xf>
    <xf numFmtId="0" fontId="7" fillId="6" borderId="12" xfId="0" applyFont="1" applyFill="1" applyBorder="1" applyAlignment="1">
      <alignment horizontal="left" indent="4"/>
    </xf>
    <xf numFmtId="164" fontId="7" fillId="5" borderId="13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</a:t>
            </a:r>
            <a:r>
              <a:rPr lang="en-US" baseline="0"/>
              <a:t> SELECIONADO:</a:t>
            </a:r>
            <a:endParaRPr lang="en-US"/>
          </a:p>
        </c:rich>
      </c:tx>
      <c:layout>
        <c:manualLayout>
          <c:xMode val="edge"/>
          <c:yMode val="edge"/>
          <c:x val="0.35221032114180567"/>
          <c:y val="3.2601887315555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55-CB41-A220-AEF7F41E952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F55-CB41-A220-AEF7F41E952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55-CB41-A220-AEF7F41E952D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F55-CB41-A220-AEF7F41E952D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55-CB41-A220-AEF7F41E952D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F55-CB41-A220-AEF7F41E952D}"/>
              </c:ext>
            </c:extLst>
          </c:dPt>
          <c:dLbls>
            <c:dLbl>
              <c:idx val="4"/>
              <c:layout>
                <c:manualLayout>
                  <c:x val="8.5857502759463189E-2"/>
                  <c:y val="0.1466055785000803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55-CB41-A220-AEF7F41E952D}"/>
                </c:ext>
              </c:extLst>
            </c:dLbl>
            <c:dLbl>
              <c:idx val="5"/>
              <c:layout>
                <c:manualLayout>
                  <c:x val="3.6741044848214111E-2"/>
                  <c:y val="0.111014234971871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55-CB41-A220-AEF7F41E95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APP!$C$38:$C$43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5-CB41-A220-AEF7F41E952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235958</xdr:colOff>
      <xdr:row>0</xdr:row>
      <xdr:rowOff>28865</xdr:rowOff>
    </xdr:from>
    <xdr:to>
      <xdr:col>3</xdr:col>
      <xdr:colOff>1269914</xdr:colOff>
      <xdr:row>7</xdr:row>
      <xdr:rowOff>105834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13DCBF-42F9-A94C-933C-9FCD68D58B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35958" y="28865"/>
          <a:ext cx="7220395" cy="1491287"/>
        </a:xfrm>
        <a:prstGeom prst="rect">
          <a:avLst/>
        </a:prstGeom>
      </xdr:spPr>
    </xdr:pic>
    <xdr:clientData/>
  </xdr:twoCellAnchor>
  <xdr:twoCellAnchor>
    <xdr:from>
      <xdr:col>0</xdr:col>
      <xdr:colOff>234462</xdr:colOff>
      <xdr:row>46</xdr:row>
      <xdr:rowOff>19539</xdr:rowOff>
    </xdr:from>
    <xdr:to>
      <xdr:col>4</xdr:col>
      <xdr:colOff>29308</xdr:colOff>
      <xdr:row>61</xdr:row>
      <xdr:rowOff>58615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BAFC91-3B46-74FA-EDB3-49A27F549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44B7-328D-674D-81DE-42960E79100E}">
  <dimension ref="A9:G44"/>
  <sheetViews>
    <sheetView showGridLines="0" showRowColHeaders="0" tabSelected="1" zoomScaleNormal="100" workbookViewId="0">
      <selection activeCell="E18" sqref="E18"/>
    </sheetView>
  </sheetViews>
  <sheetFormatPr baseColWidth="10" defaultColWidth="0" defaultRowHeight="16"/>
  <cols>
    <col min="1" max="1" width="3.1640625" customWidth="1"/>
    <col min="2" max="2" width="39.33203125" customWidth="1"/>
    <col min="3" max="3" width="38.6640625" customWidth="1"/>
    <col min="4" max="4" width="16.6640625" customWidth="1"/>
    <col min="5" max="5" width="14.1640625" customWidth="1"/>
    <col min="6" max="6" width="22" hidden="1" customWidth="1"/>
    <col min="7" max="7" width="13.5" hidden="1" customWidth="1"/>
    <col min="8" max="9" width="10.83203125" hidden="1" customWidth="1"/>
    <col min="10" max="16384" width="10.83203125" hidden="1"/>
  </cols>
  <sheetData>
    <row r="9" spans="2:6" ht="17" thickBot="1"/>
    <row r="10" spans="2:6" ht="40" customHeight="1" thickTop="1">
      <c r="B10" s="48" t="s">
        <v>13</v>
      </c>
      <c r="C10" s="49"/>
      <c r="D10" s="50"/>
    </row>
    <row r="11" spans="2:6" ht="20">
      <c r="B11" s="62" t="s">
        <v>14</v>
      </c>
      <c r="C11" s="63"/>
      <c r="D11" s="6">
        <v>4200</v>
      </c>
    </row>
    <row r="12" spans="2:6" ht="20">
      <c r="B12" s="64" t="s">
        <v>15</v>
      </c>
      <c r="C12" s="65"/>
      <c r="D12" s="7">
        <v>6.0000000000000001E-3</v>
      </c>
    </row>
    <row r="13" spans="2:6" ht="21" thickBot="1">
      <c r="B13" s="66" t="s">
        <v>16</v>
      </c>
      <c r="C13" s="67"/>
      <c r="D13" s="68">
        <f>D11*30%</f>
        <v>1260</v>
      </c>
    </row>
    <row r="14" spans="2:6" ht="19" thickTop="1">
      <c r="D14" s="5"/>
      <c r="E14" s="56"/>
      <c r="F14" s="57"/>
    </row>
    <row r="15" spans="2:6" ht="17" thickBot="1"/>
    <row r="16" spans="2:6" ht="40" customHeight="1" thickTop="1">
      <c r="B16" s="51" t="s">
        <v>5</v>
      </c>
      <c r="C16" s="52"/>
      <c r="D16" s="53"/>
    </row>
    <row r="17" spans="1:6" ht="20">
      <c r="B17" s="54" t="s">
        <v>0</v>
      </c>
      <c r="C17" s="55"/>
      <c r="D17" s="8">
        <v>1260</v>
      </c>
    </row>
    <row r="18" spans="1:6" ht="20">
      <c r="B18" s="54" t="s">
        <v>1</v>
      </c>
      <c r="C18" s="55"/>
      <c r="D18" s="21">
        <v>10</v>
      </c>
    </row>
    <row r="19" spans="1:6" ht="20">
      <c r="B19" s="54" t="s">
        <v>2</v>
      </c>
      <c r="C19" s="55"/>
      <c r="D19" s="22">
        <v>1.0789999999999999E-2</v>
      </c>
    </row>
    <row r="20" spans="1:6" ht="20">
      <c r="B20" s="58" t="s">
        <v>3</v>
      </c>
      <c r="C20" s="59"/>
      <c r="D20" s="9">
        <f>FV(taxa_mensal,qtd_anos*12,aporte*-1)</f>
        <v>306538.10778801696</v>
      </c>
      <c r="E20" s="56"/>
      <c r="F20" s="57"/>
    </row>
    <row r="21" spans="1:6" ht="21" thickBot="1">
      <c r="B21" s="60" t="s">
        <v>4</v>
      </c>
      <c r="C21" s="61"/>
      <c r="D21" s="10">
        <f>patrimonio*rendimento_carteira</f>
        <v>1839.2286467281017</v>
      </c>
    </row>
    <row r="22" spans="1:6" ht="19" thickTop="1">
      <c r="B22" s="3"/>
      <c r="C22" s="4"/>
      <c r="D22" s="4"/>
    </row>
    <row r="23" spans="1:6" ht="17" thickBot="1"/>
    <row r="24" spans="1:6" ht="27" thickTop="1">
      <c r="B24" s="46" t="s">
        <v>11</v>
      </c>
      <c r="C24" s="47"/>
      <c r="D24" s="11" t="s">
        <v>12</v>
      </c>
    </row>
    <row r="25" spans="1:6" ht="20">
      <c r="A25" s="2">
        <v>2</v>
      </c>
      <c r="B25" s="12" t="s">
        <v>6</v>
      </c>
      <c r="C25" s="13">
        <f>FV($D$19,$A25*12,$D$17*-1)</f>
        <v>34306.810395032975</v>
      </c>
      <c r="D25" s="14">
        <f>C25*rendimento_carteira</f>
        <v>205.84086237019787</v>
      </c>
    </row>
    <row r="26" spans="1:6" ht="20">
      <c r="A26" s="2">
        <v>5</v>
      </c>
      <c r="B26" s="15" t="s">
        <v>7</v>
      </c>
      <c r="C26" s="16">
        <f>FV($D$19,$A26*12,$D$17*-1)</f>
        <v>105558.91163809443</v>
      </c>
      <c r="D26" s="17">
        <f>C26*rendimento_carteira</f>
        <v>633.35346982856663</v>
      </c>
    </row>
    <row r="27" spans="1:6" ht="20">
      <c r="A27" s="2">
        <v>10</v>
      </c>
      <c r="B27" s="15" t="s">
        <v>8</v>
      </c>
      <c r="C27" s="16">
        <f>FV($D$19,$A27*12,$D$17*-1)</f>
        <v>306538.10778801696</v>
      </c>
      <c r="D27" s="17">
        <f>C27*rendimento_carteira</f>
        <v>1839.2286467281017</v>
      </c>
    </row>
    <row r="28" spans="1:6" ht="20">
      <c r="A28" s="2">
        <v>20</v>
      </c>
      <c r="B28" s="15" t="s">
        <v>9</v>
      </c>
      <c r="C28" s="16">
        <f>FV($D$19,$A28*12,$D$17*-1)</f>
        <v>1417749.9841223215</v>
      </c>
      <c r="D28" s="17">
        <f>C28*rendimento_carteira</f>
        <v>8506.4999047339297</v>
      </c>
    </row>
    <row r="29" spans="1:6" ht="21" thickBot="1">
      <c r="A29" s="2">
        <v>30</v>
      </c>
      <c r="B29" s="18" t="s">
        <v>10</v>
      </c>
      <c r="C29" s="19">
        <f>FV($D$19,$A29*12,$D$17*-1)</f>
        <v>5445933.7653059401</v>
      </c>
      <c r="D29" s="20">
        <f>C29*rendimento_carteira</f>
        <v>32675.602591835643</v>
      </c>
    </row>
    <row r="30" spans="1:6" ht="17" thickTop="1"/>
    <row r="33" spans="2:4" ht="18">
      <c r="B33" s="43" t="s">
        <v>19</v>
      </c>
      <c r="C33" s="44" t="s">
        <v>32</v>
      </c>
      <c r="D33" s="43"/>
    </row>
    <row r="34" spans="2:4" ht="18">
      <c r="B34" s="41" t="s">
        <v>20</v>
      </c>
      <c r="C34" s="42">
        <f>aporte</f>
        <v>1260</v>
      </c>
      <c r="D34" s="41"/>
    </row>
    <row r="35" spans="2:4">
      <c r="B35" s="39"/>
      <c r="C35" s="40"/>
      <c r="D35" s="39"/>
    </row>
    <row r="37" spans="2:4" ht="17">
      <c r="B37" s="23" t="s">
        <v>21</v>
      </c>
      <c r="C37" s="23" t="s">
        <v>22</v>
      </c>
      <c r="D37" s="23" t="s">
        <v>23</v>
      </c>
    </row>
    <row r="38" spans="2:4" ht="20">
      <c r="B38" s="24" t="s">
        <v>24</v>
      </c>
      <c r="C38" s="25">
        <f>VLOOKUP($C$33&amp;"-"&amp;B38,Planilha2!$A$2:$D$20,4,FALSE)</f>
        <v>0.32</v>
      </c>
      <c r="D38" s="45">
        <f>C38*$C$34</f>
        <v>403.2</v>
      </c>
    </row>
    <row r="39" spans="2:4" ht="20">
      <c r="B39" s="24" t="s">
        <v>25</v>
      </c>
      <c r="C39" s="25">
        <f>VLOOKUP($C$33&amp;"-"&amp;B39,Planilha2!$A$2:$D$20,4,FALSE)</f>
        <v>0.4</v>
      </c>
      <c r="D39" s="45">
        <f t="shared" ref="D39:D43" si="0">C39*$C$34</f>
        <v>504</v>
      </c>
    </row>
    <row r="40" spans="2:4" ht="20">
      <c r="B40" s="24" t="s">
        <v>26</v>
      </c>
      <c r="C40" s="25">
        <f>VLOOKUP($C$33&amp;"-"&amp;B40,Planilha2!$A$2:$D$20,4,FALSE)</f>
        <v>0.08</v>
      </c>
      <c r="D40" s="45">
        <f t="shared" si="0"/>
        <v>100.8</v>
      </c>
    </row>
    <row r="41" spans="2:4" ht="20">
      <c r="B41" s="24" t="s">
        <v>27</v>
      </c>
      <c r="C41" s="25">
        <f>VLOOKUP($C$33&amp;"-"&amp;B41,Planilha2!$A$2:$D$20,4,FALSE)</f>
        <v>0.1</v>
      </c>
      <c r="D41" s="45">
        <f t="shared" si="0"/>
        <v>126</v>
      </c>
    </row>
    <row r="42" spans="2:4" ht="20">
      <c r="B42" s="24" t="s">
        <v>28</v>
      </c>
      <c r="C42" s="25">
        <f>VLOOKUP($C$33&amp;"-"&amp;B42,Planilha2!$A$2:$D$20,4,FALSE)</f>
        <v>0.05</v>
      </c>
      <c r="D42" s="45">
        <f t="shared" si="0"/>
        <v>63</v>
      </c>
    </row>
    <row r="43" spans="2:4" ht="20">
      <c r="B43" s="24" t="s">
        <v>29</v>
      </c>
      <c r="C43" s="25">
        <f>VLOOKUP($C$33&amp;"-"&amp;B43,Planilha2!$A$2:$D$20,4,FALSE)</f>
        <v>0.05</v>
      </c>
      <c r="D43" s="45">
        <f t="shared" si="0"/>
        <v>63</v>
      </c>
    </row>
    <row r="44" spans="2:4" ht="17">
      <c r="B44" s="1"/>
      <c r="C44" s="1"/>
      <c r="D44" s="26">
        <f>SUM(D38:D43)</f>
        <v>1260</v>
      </c>
    </row>
  </sheetData>
  <dataConsolidate/>
  <mergeCells count="13">
    <mergeCell ref="E20:F20"/>
    <mergeCell ref="E14:F14"/>
    <mergeCell ref="B20:C20"/>
    <mergeCell ref="B21:C21"/>
    <mergeCell ref="B11:C11"/>
    <mergeCell ref="B12:C12"/>
    <mergeCell ref="B13:C13"/>
    <mergeCell ref="B17:C17"/>
    <mergeCell ref="B24:C24"/>
    <mergeCell ref="B10:D10"/>
    <mergeCell ref="B16:D16"/>
    <mergeCell ref="B18:C18"/>
    <mergeCell ref="B19:C19"/>
  </mergeCells>
  <dataValidations count="1">
    <dataValidation type="list" allowBlank="1" showInputMessage="1" showErrorMessage="1" sqref="C33" xr:uid="{C5E5B783-5A50-1041-8CBC-7AB5F72EDF95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88C7-F819-0F4C-9568-81CB46DC3B51}">
  <dimension ref="A2:I20"/>
  <sheetViews>
    <sheetView workbookViewId="0">
      <selection activeCell="M13" sqref="M13"/>
    </sheetView>
  </sheetViews>
  <sheetFormatPr baseColWidth="10" defaultRowHeight="16"/>
  <cols>
    <col min="1" max="1" width="33.5" bestFit="1" customWidth="1"/>
    <col min="2" max="2" width="16" bestFit="1" customWidth="1"/>
    <col min="3" max="3" width="19" bestFit="1" customWidth="1"/>
    <col min="8" max="8" width="19.6640625" customWidth="1"/>
  </cols>
  <sheetData>
    <row r="2" spans="1:9" ht="19">
      <c r="A2" s="28" t="s">
        <v>31</v>
      </c>
      <c r="B2" s="29" t="s">
        <v>19</v>
      </c>
      <c r="C2" s="29" t="s">
        <v>21</v>
      </c>
      <c r="D2" s="29" t="s">
        <v>30</v>
      </c>
    </row>
    <row r="3" spans="1:9" ht="21">
      <c r="A3" s="28" t="str">
        <f>B3&amp;"-"&amp;C3</f>
        <v>CONSERVADOR-Papel</v>
      </c>
      <c r="B3" s="28" t="s">
        <v>18</v>
      </c>
      <c r="C3" s="30" t="s">
        <v>24</v>
      </c>
      <c r="D3" s="31">
        <v>0.3</v>
      </c>
      <c r="H3" s="28"/>
      <c r="I3" s="27"/>
    </row>
    <row r="4" spans="1:9" ht="21">
      <c r="A4" s="28" t="str">
        <f t="shared" ref="A4:A20" si="0">B4&amp;"-"&amp;C4</f>
        <v>CONSERVADOR-Tijolo</v>
      </c>
      <c r="B4" s="28" t="s">
        <v>18</v>
      </c>
      <c r="C4" s="30" t="s">
        <v>25</v>
      </c>
      <c r="D4" s="31">
        <v>0.5</v>
      </c>
      <c r="I4" s="27"/>
    </row>
    <row r="5" spans="1:9" ht="21">
      <c r="A5" s="28" t="str">
        <f t="shared" si="0"/>
        <v>CONSERVADOR-Híbridos</v>
      </c>
      <c r="B5" s="28" t="s">
        <v>18</v>
      </c>
      <c r="C5" s="30" t="s">
        <v>26</v>
      </c>
      <c r="D5" s="31">
        <v>0.1</v>
      </c>
      <c r="I5" s="27"/>
    </row>
    <row r="6" spans="1:9" ht="21">
      <c r="A6" s="28" t="str">
        <f t="shared" si="0"/>
        <v>CONSERVADOR-FOFs</v>
      </c>
      <c r="B6" s="28" t="s">
        <v>18</v>
      </c>
      <c r="C6" s="30" t="s">
        <v>27</v>
      </c>
      <c r="D6" s="31">
        <v>0.1</v>
      </c>
      <c r="I6" s="27"/>
    </row>
    <row r="7" spans="1:9" ht="21">
      <c r="A7" s="28" t="str">
        <f t="shared" si="0"/>
        <v>CONSERVADOR-Desenvolvimento</v>
      </c>
      <c r="B7" s="28" t="s">
        <v>18</v>
      </c>
      <c r="C7" s="30" t="s">
        <v>28</v>
      </c>
      <c r="D7" s="31">
        <v>0</v>
      </c>
      <c r="I7" s="27"/>
    </row>
    <row r="8" spans="1:9" ht="22" thickBot="1">
      <c r="A8" s="28" t="str">
        <f t="shared" si="0"/>
        <v>CONSERVADOR-Hotelarias</v>
      </c>
      <c r="B8" s="28" t="s">
        <v>18</v>
      </c>
      <c r="C8" s="30" t="s">
        <v>29</v>
      </c>
      <c r="D8" s="31">
        <v>0</v>
      </c>
      <c r="I8" s="27"/>
    </row>
    <row r="9" spans="1:9" ht="22" thickTop="1">
      <c r="A9" s="32" t="str">
        <f t="shared" si="0"/>
        <v>MODERADO-Papel</v>
      </c>
      <c r="B9" s="32" t="s">
        <v>32</v>
      </c>
      <c r="C9" s="33" t="s">
        <v>24</v>
      </c>
      <c r="D9" s="34">
        <v>0.32</v>
      </c>
      <c r="I9" s="27"/>
    </row>
    <row r="10" spans="1:9" ht="21">
      <c r="A10" s="28" t="str">
        <f t="shared" si="0"/>
        <v>MODERADO-Tijolo</v>
      </c>
      <c r="B10" s="28" t="s">
        <v>32</v>
      </c>
      <c r="C10" s="30" t="s">
        <v>25</v>
      </c>
      <c r="D10" s="35">
        <v>0.4</v>
      </c>
      <c r="I10" s="27"/>
    </row>
    <row r="11" spans="1:9" ht="21">
      <c r="A11" s="28" t="str">
        <f t="shared" si="0"/>
        <v>MODERADO-Híbridos</v>
      </c>
      <c r="B11" s="28" t="s">
        <v>32</v>
      </c>
      <c r="C11" s="30" t="s">
        <v>26</v>
      </c>
      <c r="D11" s="35">
        <v>0.08</v>
      </c>
      <c r="I11" s="27"/>
    </row>
    <row r="12" spans="1:9" ht="21">
      <c r="A12" s="28" t="str">
        <f t="shared" si="0"/>
        <v>MODERADO-FOFs</v>
      </c>
      <c r="B12" s="28" t="s">
        <v>32</v>
      </c>
      <c r="C12" s="30" t="s">
        <v>27</v>
      </c>
      <c r="D12" s="35">
        <v>0.1</v>
      </c>
      <c r="I12" s="27"/>
    </row>
    <row r="13" spans="1:9" ht="21">
      <c r="A13" s="28" t="str">
        <f t="shared" si="0"/>
        <v>MODERADO-Desenvolvimento</v>
      </c>
      <c r="B13" s="28" t="s">
        <v>32</v>
      </c>
      <c r="C13" s="30" t="s">
        <v>28</v>
      </c>
      <c r="D13" s="35">
        <v>0.05</v>
      </c>
      <c r="I13" s="27"/>
    </row>
    <row r="14" spans="1:9" ht="22" thickBot="1">
      <c r="A14" s="36" t="str">
        <f t="shared" si="0"/>
        <v>MODERADO-Hotelarias</v>
      </c>
      <c r="B14" s="36" t="s">
        <v>32</v>
      </c>
      <c r="C14" s="37" t="s">
        <v>29</v>
      </c>
      <c r="D14" s="38">
        <v>0.05</v>
      </c>
      <c r="I14" s="27"/>
    </row>
    <row r="15" spans="1:9" ht="22" thickTop="1">
      <c r="A15" s="28" t="str">
        <f t="shared" si="0"/>
        <v>AGRESSIVO-Papel</v>
      </c>
      <c r="B15" s="28" t="s">
        <v>17</v>
      </c>
      <c r="C15" s="30" t="s">
        <v>24</v>
      </c>
      <c r="D15" s="31">
        <v>0.5</v>
      </c>
    </row>
    <row r="16" spans="1:9" ht="21">
      <c r="A16" s="28" t="str">
        <f t="shared" si="0"/>
        <v>AGRESSIVO-Tijolo</v>
      </c>
      <c r="B16" s="28" t="s">
        <v>17</v>
      </c>
      <c r="C16" s="30" t="s">
        <v>25</v>
      </c>
      <c r="D16" s="31">
        <v>0.1</v>
      </c>
    </row>
    <row r="17" spans="1:4" ht="21">
      <c r="A17" s="28" t="str">
        <f t="shared" si="0"/>
        <v>AGRESSIVO-Híbridos</v>
      </c>
      <c r="B17" s="28" t="s">
        <v>17</v>
      </c>
      <c r="C17" s="30" t="s">
        <v>26</v>
      </c>
      <c r="D17" s="31">
        <v>0.05</v>
      </c>
    </row>
    <row r="18" spans="1:4" ht="21">
      <c r="A18" s="28" t="str">
        <f t="shared" si="0"/>
        <v>AGRESSIVO-FOFs</v>
      </c>
      <c r="B18" s="28" t="s">
        <v>17</v>
      </c>
      <c r="C18" s="30" t="s">
        <v>27</v>
      </c>
      <c r="D18" s="31">
        <v>0.05</v>
      </c>
    </row>
    <row r="19" spans="1:4" ht="21">
      <c r="A19" s="28" t="str">
        <f t="shared" si="0"/>
        <v>AGRESSIVO-Desenvolvimento</v>
      </c>
      <c r="B19" s="28" t="s">
        <v>17</v>
      </c>
      <c r="C19" s="30" t="s">
        <v>28</v>
      </c>
      <c r="D19" s="31">
        <v>0.2</v>
      </c>
    </row>
    <row r="20" spans="1:4" ht="21">
      <c r="A20" s="28" t="str">
        <f t="shared" si="0"/>
        <v>AGRESSIVO-Hotelarias</v>
      </c>
      <c r="B20" s="28" t="s">
        <v>17</v>
      </c>
      <c r="C20" s="30" t="s">
        <v>29</v>
      </c>
      <c r="D20" s="3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2026-03-08T20:14:37Z</dcterms:created>
  <dcterms:modified xsi:type="dcterms:W3CDTF">2026-03-09T14:56:13Z</dcterms:modified>
</cp:coreProperties>
</file>